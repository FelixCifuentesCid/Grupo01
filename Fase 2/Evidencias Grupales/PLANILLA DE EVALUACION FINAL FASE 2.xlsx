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1\"/>
    </mc:Choice>
  </mc:AlternateContent>
  <xr:revisionPtr revIDLastSave="0" documentId="13_ncr:1_{3CC927FF-76C1-40BA-860B-94BB766E2AB7}"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G40" i="1"/>
  <c r="E40" i="1"/>
  <c r="B28" i="1"/>
  <c r="E28" i="1"/>
  <c r="G28" i="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E15" i="1"/>
  <c r="E16" i="1"/>
  <c r="E17" i="1"/>
  <c r="D18" i="1"/>
  <c r="E18" i="1" s="1"/>
  <c r="F19" i="1"/>
  <c r="G19" i="1" s="1"/>
  <c r="E19" i="1" l="1"/>
  <c r="I19" i="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<sst xmlns="http://schemas.openxmlformats.org/spreadsheetml/2006/main" count="153" uniqueCount="80">
  <si>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</si>
  <si>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</si>
  <si>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</si>
  <si>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</si>
  <si>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</si>
  <si>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</si>
  <si>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</si>
  <si>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</si>
  <si>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</si>
  <si>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</si>
  <si>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</si>
  <si>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</si>
  <si>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</si>
  <si>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</si>
  <si>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</si>
  <si>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</si>
  <si>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</si>
  <si>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</si>
  <si>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</si>
  <si>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</si>
  <si>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</si>
  <si>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</si>
  <si>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</si>
  <si>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</si>
  <si>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</si>
  <si>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</si>
  <si>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</si>
  <si>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</si>
  <si>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</si>
  <si>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</si>
  <si>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</si>
  <si>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</si>
  <si>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</si>
  <si>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</si>
  <si>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</si>
  <si>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</si>
  <si>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</si>
  <si>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</si>
  <si>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</si>
  <si>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</si>
  <si>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</si>
  <si>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</si>
  <si>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</si>
  <si>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</si>
  <si>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</si>
  <si>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</si>
  <si>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</si>
  <si>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</si>
  <si>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</si>
  <si>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</si>
  <si>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</si>
  <si>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</si>
  <si>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</si>
  <si>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</si>
  <si>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</si>
  <si>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</si>
  <si>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</si>
  <si>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</si>
  <si>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</si>
  <si>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</si>
  <si>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</si>
  <si>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</si>
  <si>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</si>
  <si>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</si>
  <si>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</si>
  <si>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</si>
  <si>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</si>
  <si>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</si>
  <si>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</si>
  <si>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</si>
  <si>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</si>
  <si>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</si>
  <si>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</si>
  <si>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</si>
  <si>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</si>
  <si>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</si>
  <si>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ACUNA HIDALGO DILAN JEFERSON</t>
  </si>
  <si>
    <t>COELLO SEGOVIA BRYAN ALEJANDRO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</si>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</sst>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9" sqref="F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3.140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5.8</v>
      </c>
      <c r="D4" s="5">
        <f>$C$32</f>
        <v>7</v>
      </c>
      <c r="E4" s="6">
        <f>C4*C$2+D4*D$2</f>
        <v>6.1</v>
      </c>
      <c r="G4" s="1"/>
    </row>
    <row r="5" spans="1:11" x14ac:dyDescent="0.25">
      <c r="A5" s="4">
        <v>2</v>
      </c>
      <c r="B5" s="73" t="s">
        <v>77</v>
      </c>
      <c r="C5" s="5">
        <f>EVALUACION1!$C$21</f>
        <v>5.8</v>
      </c>
      <c r="D5" s="5">
        <f>C44</f>
        <v>7</v>
      </c>
      <c r="E5" s="6">
        <f t="shared" ref="E5:E6" si="0">C5*C$2+D5*D$2</f>
        <v>6.1</v>
      </c>
      <c r="G5" s="1"/>
    </row>
    <row r="6" spans="1:11" x14ac:dyDescent="0.25">
      <c r="A6" s="4">
        <v>3</v>
      </c>
      <c r="B6" s="27"/>
      <c r="C6" s="5">
        <f>EVALUACION1!$C$21</f>
        <v>5.8</v>
      </c>
      <c r="D6" s="5">
        <f>C55</f>
        <v>7</v>
      </c>
      <c r="E6" s="6">
        <f t="shared" si="0"/>
        <v>6.1</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4" si="1">IF($C13=CL,"X","")</f>
        <v>X</v>
      </c>
      <c r="E13" s="16">
        <f>IF(D13="X",100*0.1,"")</f>
        <v>10</v>
      </c>
      <c r="F13" s="16" t="str">
        <f t="shared" ref="F13:F14"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
        <v>78</v>
      </c>
      <c r="E15" s="16">
        <f>IF(D15="X",100*0.05,"")</f>
        <v>5</v>
      </c>
      <c r="F15" s="16" t="s">
        <v>79</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
        <v>78</v>
      </c>
      <c r="E16" s="16">
        <f>IF(D16="X",100*0.05,"")</f>
        <v>5</v>
      </c>
      <c r="F16" s="16" t="s">
        <v>79</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79</v>
      </c>
      <c r="E17" s="16" t="str">
        <f>IF(D17="X",100*0.05,"")</f>
        <v/>
      </c>
      <c r="F17" s="16" t="s">
        <v>78</v>
      </c>
      <c r="G17" s="16">
        <f>IF(F17="X",60*0.05,"")</f>
        <v>3</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79</v>
      </c>
      <c r="E19" s="16" t="str">
        <f>IF(D19="X",100*0.15,"")</f>
        <v/>
      </c>
      <c r="F19" s="16" t="str">
        <f>IF($C19=L,"X","")</f>
        <v/>
      </c>
      <c r="G19" s="16" t="str">
        <f>IF(F19="X",60*0.15,"")</f>
        <v/>
      </c>
      <c r="H19" s="16" t="s">
        <v>78</v>
      </c>
      <c r="I19" s="16">
        <f>IF(H19="X",30*0.15,"")</f>
        <v>4.5</v>
      </c>
      <c r="J19" s="16" t="str">
        <f>IF($C19=NL,"X","")</f>
        <v/>
      </c>
      <c r="K19" s="16" t="str">
        <f t="shared" si="6"/>
        <v/>
      </c>
    </row>
    <row r="20" spans="1:11" ht="15.75" customHeight="1" outlineLevel="1" x14ac:dyDescent="0.3">
      <c r="A20" s="65"/>
      <c r="B20" s="29" t="s">
        <v>66</v>
      </c>
      <c r="C20" s="33">
        <f>E20+G20+I20+K20</f>
        <v>62.5</v>
      </c>
      <c r="D20" s="19"/>
      <c r="E20" s="19">
        <f>SUM(E13:E19)</f>
        <v>55</v>
      </c>
      <c r="F20" s="19"/>
      <c r="G20" s="19">
        <f>SUM(G13:G19)</f>
        <v>3</v>
      </c>
      <c r="H20" s="19"/>
      <c r="I20" s="19">
        <f>SUM(I13:I19)</f>
        <v>4.5</v>
      </c>
      <c r="J20" s="19"/>
      <c r="K20" s="19">
        <f>SUM(K13:K19)</f>
        <v>0</v>
      </c>
    </row>
    <row r="21" spans="1:11" ht="15.75" customHeight="1" outlineLevel="1" x14ac:dyDescent="0.3">
      <c r="A21" s="54"/>
      <c r="B21" s="32" t="s">
        <v>67</v>
      </c>
      <c r="C21" s="20">
        <f>VLOOKUP(C20,ESCALA_IEP!A1:B152,2,FALSE)</f>
        <v>5.8</v>
      </c>
    </row>
    <row r="22" spans="1:11" ht="15.75" customHeight="1" x14ac:dyDescent="0.25"/>
    <row r="23" spans="1:11" ht="15.75" customHeight="1" x14ac:dyDescent="0.25"/>
    <row r="24" spans="1:11" ht="15.75" customHeight="1" x14ac:dyDescent="0.25">
      <c r="A24" s="64" t="s">
        <v>59</v>
      </c>
      <c r="B24" s="53" t="s">
        <v>68</v>
      </c>
      <c r="C24" s="56" t="str">
        <f>$B$4</f>
        <v>ACUNA HIDALGO DILAN JEFERSON</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
        <v>78</v>
      </c>
      <c r="E28" s="16">
        <f>IF(D28="X",100*0.05,"")</f>
        <v>5</v>
      </c>
      <c r="F28" s="16" t="s">
        <v>79</v>
      </c>
      <c r="G28" s="16" t="str">
        <f>IF(F28="X",60*0.05,"")</f>
        <v/>
      </c>
      <c r="H28" s="16" t="str">
        <f t="shared" ref="H28:H30" si="7">IF($C28=ML,"X","")</f>
        <v/>
      </c>
      <c r="I28" s="16" t="str">
        <f>IF(H28="X",30*0.05,"")</f>
        <v/>
      </c>
      <c r="J28" s="16" t="str">
        <f t="shared" ref="J28:J30" si="8">IF($C28=NL,"X","")</f>
        <v/>
      </c>
      <c r="K28" s="16" t="str">
        <f t="shared" ref="K28:K30" si="9">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78</v>
      </c>
      <c r="E29" s="16">
        <f>IF(D29="X",100*0.1,"")</f>
        <v>10</v>
      </c>
      <c r="F29" s="16" t="s">
        <v>79</v>
      </c>
      <c r="G29" s="16" t="str">
        <f>IF(F29="X",60*0.1,"")</f>
        <v/>
      </c>
      <c r="H29" s="16" t="str">
        <f t="shared" si="7"/>
        <v/>
      </c>
      <c r="I29" s="16" t="str">
        <f>IF(H29="X",30*0.1,"")</f>
        <v/>
      </c>
      <c r="J29" s="16" t="str">
        <f t="shared" si="8"/>
        <v/>
      </c>
      <c r="K29" s="16" t="str">
        <f t="shared" si="9"/>
        <v/>
      </c>
    </row>
    <row r="30" spans="1:11" ht="25.9" customHeight="1" x14ac:dyDescent="0.25">
      <c r="A30" s="65"/>
      <c r="B30" s="30" t="str">
        <f>RUBRICA!A13</f>
        <v>10. Colaboración y trabajo en equipo *</v>
      </c>
      <c r="C30" s="28" t="s">
        <v>63</v>
      </c>
      <c r="D30" s="16" t="str">
        <f t="shared" ref="D30" si="10">IF($C30=CL,"X","")</f>
        <v>X</v>
      </c>
      <c r="E30" s="16">
        <f>IF(D30="X",100*0.1,"")</f>
        <v>10</v>
      </c>
      <c r="F30" s="16" t="str">
        <f t="shared" ref="F30" si="11">IF($C30=L,"X","")</f>
        <v/>
      </c>
      <c r="G30" s="16" t="str">
        <f>IF(F30="X",60*0.1,"")</f>
        <v/>
      </c>
      <c r="H30" s="16" t="str">
        <f t="shared" si="7"/>
        <v/>
      </c>
      <c r="I30" s="16" t="str">
        <f>IF(H30="X",30*0.1,"")</f>
        <v/>
      </c>
      <c r="J30" s="16" t="str">
        <f t="shared" si="8"/>
        <v/>
      </c>
      <c r="K30" s="16" t="str">
        <f t="shared" si="9"/>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COELLO SEGOVIA BRYAN ALEJANDRO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
        <v>78</v>
      </c>
      <c r="E40" s="16">
        <f>IF(D40="X",100*0.05,"")</f>
        <v>5</v>
      </c>
      <c r="F40" s="16" t="s">
        <v>79</v>
      </c>
      <c r="G40" s="16" t="str">
        <f>IF(F40="X",60*0.05,"")</f>
        <v/>
      </c>
      <c r="H40" s="16" t="str">
        <f t="shared" ref="H40:H42" si="12">IF($C40=ML,"X","")</f>
        <v/>
      </c>
      <c r="I40" s="16" t="str">
        <f>IF(H40="X",30*0.05,"")</f>
        <v/>
      </c>
      <c r="J40" s="16" t="str">
        <f t="shared" ref="J40:J42" si="13">IF($C40=NL,"X","")</f>
        <v/>
      </c>
      <c r="K40" s="16" t="str">
        <f t="shared" ref="K40:K42" si="14">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78</v>
      </c>
      <c r="E41" s="16">
        <f>IF(D41="X",100*0.1,"")</f>
        <v>10</v>
      </c>
      <c r="F41" s="16" t="s">
        <v>79</v>
      </c>
      <c r="G41" s="16" t="str">
        <f>IF(F41="X",60*0.1,"")</f>
        <v/>
      </c>
      <c r="H41" s="16" t="str">
        <f t="shared" si="12"/>
        <v/>
      </c>
      <c r="I41" s="16" t="str">
        <f>IF(H41="X",30*0.1,"")</f>
        <v/>
      </c>
      <c r="J41" s="16" t="str">
        <f t="shared" si="13"/>
        <v/>
      </c>
      <c r="K41" s="16" t="str">
        <f t="shared" si="14"/>
        <v/>
      </c>
    </row>
    <row r="42" spans="1:11" x14ac:dyDescent="0.25">
      <c r="A42" s="65"/>
      <c r="B42" s="30" t="str">
        <f>RUBRICA!A13</f>
        <v>10. Colaboración y trabajo en equipo *</v>
      </c>
      <c r="C42" s="28" t="s">
        <v>63</v>
      </c>
      <c r="D42" s="16" t="str">
        <f t="shared" ref="D42" si="15">IF($C42=CL,"X","")</f>
        <v>X</v>
      </c>
      <c r="E42" s="16">
        <f>IF(D42="X",100*0.1,"")</f>
        <v>10</v>
      </c>
      <c r="F42" s="16" t="str">
        <f t="shared" ref="F42" si="16">IF($C42=L,"X","")</f>
        <v/>
      </c>
      <c r="G42" s="16" t="str">
        <f>IF(F42="X",60*0.1,"")</f>
        <v/>
      </c>
      <c r="H42" s="16" t="str">
        <f t="shared" si="12"/>
        <v/>
      </c>
      <c r="I42" s="16" t="str">
        <f>IF(H42="X",30*0.1,"")</f>
        <v/>
      </c>
      <c r="J42" s="16" t="str">
        <f t="shared" si="13"/>
        <v/>
      </c>
      <c r="K42" s="16" t="str">
        <f t="shared" si="14"/>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2025-11-25T16:08:13Z</dcterms:modified>
  <cp:category/>
  <cp:contentStatus/>
</cp:coreProperties>
</file>